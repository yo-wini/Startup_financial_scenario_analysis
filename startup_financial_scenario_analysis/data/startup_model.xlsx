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11e3a069931a15/"/>
    </mc:Choice>
  </mc:AlternateContent>
  <xr:revisionPtr revIDLastSave="0" documentId="8_{9F9D0DD5-85AB-4607-9203-A0CC2CD11373}" xr6:coauthVersionLast="47" xr6:coauthVersionMax="47" xr10:uidLastSave="{00000000-0000-0000-0000-000000000000}"/>
  <bookViews>
    <workbookView xWindow="-96" yWindow="0" windowWidth="11712" windowHeight="12336" firstSheet="2" activeTab="2" xr2:uid="{FCD4102B-CC56-491C-B9A6-C6D7462CD39C}"/>
  </bookViews>
  <sheets>
    <sheet name="assumptions" sheetId="1" r:id="rId1"/>
    <sheet name="monthly_projection" sheetId="2" r:id="rId2"/>
    <sheet name="cash_flow" sheetId="3" r:id="rId3"/>
    <sheet name="KPI_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 a="1"/>
  <c r="B6" i="4" s="1"/>
  <c r="B5" i="4"/>
  <c r="B4" i="4"/>
  <c r="B3" i="4"/>
  <c r="B2" i="4"/>
  <c r="B1" i="4"/>
  <c r="F3" i="3"/>
  <c r="F4" i="3"/>
  <c r="F5" i="3"/>
  <c r="F6" i="3"/>
  <c r="F18" i="3"/>
  <c r="F19" i="3"/>
  <c r="F2" i="3"/>
  <c r="E3" i="3"/>
  <c r="B4" i="3"/>
  <c r="E4" i="3" s="1"/>
  <c r="B5" i="3" s="1"/>
  <c r="E5" i="3" s="1"/>
  <c r="B6" i="3" s="1"/>
  <c r="E6" i="3" s="1"/>
  <c r="B7" i="3" s="1"/>
  <c r="E7" i="3" s="1"/>
  <c r="B8" i="3" s="1"/>
  <c r="E8" i="3" s="1"/>
  <c r="B9" i="3" s="1"/>
  <c r="E9" i="3" s="1"/>
  <c r="B10" i="3" s="1"/>
  <c r="E10" i="3" s="1"/>
  <c r="B11" i="3" s="1"/>
  <c r="E11" i="3" s="1"/>
  <c r="B12" i="3" s="1"/>
  <c r="E12" i="3" s="1"/>
  <c r="B13" i="3" s="1"/>
  <c r="E13" i="3" s="1"/>
  <c r="B14" i="3" s="1"/>
  <c r="E14" i="3" s="1"/>
  <c r="B15" i="3" s="1"/>
  <c r="E15" i="3" s="1"/>
  <c r="B16" i="3" s="1"/>
  <c r="E16" i="3" s="1"/>
  <c r="B17" i="3" s="1"/>
  <c r="E17" i="3" s="1"/>
  <c r="B18" i="3" s="1"/>
  <c r="E18" i="3" s="1"/>
  <c r="B19" i="3" s="1"/>
  <c r="E19" i="3" s="1"/>
  <c r="B20" i="3" s="1"/>
  <c r="E20" i="3" s="1"/>
  <c r="B21" i="3" s="1"/>
  <c r="E21" i="3" s="1"/>
  <c r="B22" i="3" s="1"/>
  <c r="E22" i="3" s="1"/>
  <c r="B23" i="3" s="1"/>
  <c r="E23" i="3" s="1"/>
  <c r="B24" i="3" s="1"/>
  <c r="E24" i="3" s="1"/>
  <c r="B25" i="3" s="1"/>
  <c r="E25" i="3" s="1"/>
  <c r="F25" i="3" s="1"/>
  <c r="E2" i="3"/>
  <c r="B3" i="3" s="1"/>
  <c r="D3" i="3"/>
  <c r="D4" i="3"/>
  <c r="D5" i="3"/>
  <c r="D6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5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4" i="2"/>
  <c r="B3" i="2"/>
  <c r="B2" i="2"/>
  <c r="F17" i="3" l="1"/>
  <c r="F15" i="3"/>
  <c r="F9" i="3"/>
  <c r="F16" i="3"/>
  <c r="F8" i="3"/>
  <c r="F22" i="3"/>
  <c r="F11" i="3"/>
  <c r="F24" i="3"/>
  <c r="F23" i="3"/>
  <c r="F21" i="3"/>
  <c r="F14" i="3"/>
  <c r="F13" i="3"/>
  <c r="F12" i="3"/>
  <c r="F10" i="3"/>
  <c r="F7" i="3"/>
  <c r="F20" i="3"/>
  <c r="C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<sst xmlns="http://schemas.openxmlformats.org/spreadsheetml/2006/main" count="50" uniqueCount="48">
  <si>
    <t>opening_cash</t>
  </si>
  <si>
    <t>starting_customers</t>
  </si>
  <si>
    <t>ARPU</t>
  </si>
  <si>
    <t>Monthly_churn_rate</t>
  </si>
  <si>
    <t>variable_cost_per_customer</t>
  </si>
  <si>
    <t>fixed_monthly_cost</t>
  </si>
  <si>
    <t>Month</t>
  </si>
  <si>
    <t>Customers</t>
  </si>
  <si>
    <t>Revenue</t>
  </si>
  <si>
    <t>Variable_cost</t>
  </si>
  <si>
    <t>Fixed_cost</t>
  </si>
  <si>
    <t>Total_cost</t>
  </si>
  <si>
    <t>Profit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</si>
  <si>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</si>
  <si>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</si>
  <si>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</si>
  <si>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</si>
  <si>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</si>
  <si>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</si>
  <si>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</si>
  <si>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</si>
  <si>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</si>
  <si>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</si>
  <si>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</si>
  <si>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</si>
  <si>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</si>
  <si>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</si>
  <si>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</si>
  <si>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</si>
  <si>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</si>
  <si>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</si>
  <si>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</si>
  <si>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</si>
  <si>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</si>
  <si>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</si>
  <si>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</si>
  <si>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</si>
  <si>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Monthly_growth_rate</t>
  </si>
  <si>
    <t>Opening_cash</t>
  </si>
  <si>
    <t>Funding</t>
  </si>
  <si>
    <t>Closing_cash</t>
  </si>
  <si>
    <t>Runway_flag</t>
  </si>
  <si>
    <t>Total revenue</t>
  </si>
  <si>
    <t>Total cost</t>
  </si>
  <si>
    <t>Net profit</t>
  </si>
  <si>
    <t>Average monthly burn rate</t>
  </si>
  <si>
    <t>Cash runaway</t>
  </si>
  <si>
    <t>Break-even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</si>
</sst>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7C963-498B-4B7A-888B-66CC29E36819}">
  <dimension ref="A1:B7"/>
  <sheetViews>
    <sheetView workbookViewId="0">
      <selection activeCell="D28" sqref="D28"/>
    </sheetView>
  </sheetViews>
  <sheetFormatPr defaultRowHeight="14.4" x14ac:dyDescent="0.3"/>
  <cols>
    <col min="1" max="1" width="18.6640625" customWidth="1"/>
    <col min="3" max="3" width="12.88671875" customWidth="1"/>
    <col min="4" max="4" width="14.109375" customWidth="1"/>
    <col min="5" max="5" width="25.5546875" customWidth="1"/>
    <col min="6" max="6" width="13.33203125" customWidth="1"/>
  </cols>
  <sheetData>
    <row r="1" spans="1:2" x14ac:dyDescent="0.3">
      <c r="A1" t="s">
        <v>1</v>
      </c>
      <c r="B1">
        <v>1000</v>
      </c>
    </row>
    <row r="2" spans="1:2" x14ac:dyDescent="0.3">
      <c r="A2" t="s">
        <v>2</v>
      </c>
      <c r="B2">
        <v>499</v>
      </c>
    </row>
    <row r="3" spans="1:2" x14ac:dyDescent="0.3">
      <c r="A3" t="s">
        <v>37</v>
      </c>
      <c r="B3">
        <v>0.08</v>
      </c>
    </row>
    <row r="4" spans="1:2" x14ac:dyDescent="0.3">
      <c r="A4" t="s">
        <v>3</v>
      </c>
      <c r="B4">
        <v>0.04</v>
      </c>
    </row>
    <row r="5" spans="1:2" x14ac:dyDescent="0.3">
      <c r="A5" t="s">
        <v>4</v>
      </c>
      <c r="B5">
        <v>80</v>
      </c>
    </row>
    <row r="6" spans="1:2" x14ac:dyDescent="0.3">
      <c r="A6" t="s">
        <v>5</v>
      </c>
      <c r="B6">
        <v>450000</v>
      </c>
    </row>
    <row r="7" spans="1:2" x14ac:dyDescent="0.3">
      <c r="A7" t="s">
        <v>0</v>
      </c>
      <c r="B7">
        <v>2500000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A2E44-4D92-4243-A56E-8B5E12D08C42}">
  <dimension ref="A1:G25"/>
  <sheetViews>
    <sheetView workbookViewId="0">
      <selection activeCell="G2" sqref="G2:G25"/>
    </sheetView>
  </sheetViews>
  <sheetFormatPr defaultRowHeight="14.4" x14ac:dyDescent="0.3"/>
  <sheetData>
    <row r="1" spans="1:7" x14ac:dyDescent="0.3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</row>
    <row r="2" spans="1:7" x14ac:dyDescent="0.3">
      <c r="A2" t="s">
        <v>13</v>
      </c>
      <c r="B2">
        <f>assumptions!$B$1</f>
        <v>1000</v>
      </c>
      <c r="C2">
        <f>B2*assumptions!B2</f>
        <v>499000</v>
      </c>
      <c r="D2">
        <f>B2 * assumptions!$B$5</f>
        <v>80000</v>
      </c>
      <c r="E2">
        <f>assumptions!$B$6</f>
        <v>450000</v>
      </c>
      <c r="F2">
        <f>D2 + E2</f>
        <v>530000</v>
      </c>
      <c r="G2">
        <f>C2 - F2</f>
        <v>-31000</v>
      </c>
    </row>
    <row r="3" spans="1:7" x14ac:dyDescent="0.3">
      <c r="A3" t="s">
        <v>14</v>
      </c>
      <c r="B3">
        <f>B2*(1+assumptions!B3  -assumptions!B4)</f>
        <v>1040</v>
      </c>
      <c r="C3">
        <f>B3*assumptions!B2</f>
        <v>518960</v>
      </c>
      <c r="D3">
        <f>B3 * assumptions!$B$5</f>
        <v>83200</v>
      </c>
      <c r="E3">
        <f>assumptions!$B$6</f>
        <v>450000</v>
      </c>
      <c r="F3">
        <f t="shared" ref="F3:F25" si="0">D3 + E3</f>
        <v>533200</v>
      </c>
      <c r="G3">
        <f t="shared" ref="G3:G25" si="1">C3 - F3</f>
        <v>-14240</v>
      </c>
    </row>
    <row r="4" spans="1:7" x14ac:dyDescent="0.3">
      <c r="A4" t="s">
        <v>15</v>
      </c>
      <c r="B4">
        <f>MAX(0, ROUNDDOWN(B3*(1 + assumptions!$B$3 - assumptions!$B$4), 0))</f>
        <v>1081</v>
      </c>
      <c r="C4">
        <f>B4*assumptions!B2</f>
        <v>539419</v>
      </c>
      <c r="D4">
        <f>B4 * assumptions!$B$5</f>
        <v>86480</v>
      </c>
      <c r="E4">
        <f>assumptions!$B$6</f>
        <v>450000</v>
      </c>
      <c r="F4">
        <f t="shared" si="0"/>
        <v>536480</v>
      </c>
      <c r="G4">
        <f t="shared" si="1"/>
        <v>2939</v>
      </c>
    </row>
    <row r="5" spans="1:7" x14ac:dyDescent="0.3">
      <c r="A5" t="s">
        <v>16</v>
      </c>
      <c r="B5">
        <f>MAX(0, ROUNDDOWN(B4*(1 + assumptions!$B$3 - assumptions!$B$4), 0))</f>
        <v>1124</v>
      </c>
      <c r="C5">
        <f>B5*assumptions!B2</f>
        <v>560876</v>
      </c>
      <c r="D5">
        <f>B5 * assumptions!$B$5</f>
        <v>89920</v>
      </c>
      <c r="E5">
        <f>assumptions!$B$6</f>
        <v>450000</v>
      </c>
      <c r="F5">
        <f t="shared" si="0"/>
        <v>539920</v>
      </c>
      <c r="G5">
        <f t="shared" si="1"/>
        <v>20956</v>
      </c>
    </row>
    <row r="6" spans="1:7" x14ac:dyDescent="0.3">
      <c r="A6" t="s">
        <v>17</v>
      </c>
      <c r="B6">
        <f>MAX(0, ROUNDDOWN(B5*(1 + assumptions!$B$3 - assumptions!$B$4), 0))</f>
        <v>1168</v>
      </c>
      <c r="C6">
        <f>B6*assumptions!B2</f>
        <v>582832</v>
      </c>
      <c r="D6">
        <f>B6 * assumptions!$B$5</f>
        <v>93440</v>
      </c>
      <c r="E6">
        <f>assumptions!$B$6</f>
        <v>450000</v>
      </c>
      <c r="F6">
        <f t="shared" si="0"/>
        <v>543440</v>
      </c>
      <c r="G6">
        <f t="shared" si="1"/>
        <v>39392</v>
      </c>
    </row>
    <row r="7" spans="1:7" x14ac:dyDescent="0.3">
      <c r="A7" t="s">
        <v>18</v>
      </c>
      <c r="B7">
        <f>MAX(0, ROUNDDOWN(B6*(1 + assumptions!$B$3 - assumptions!$B$4), 0))</f>
        <v>1214</v>
      </c>
      <c r="C7">
        <f>B7*assumptions!B2</f>
        <v>605786</v>
      </c>
      <c r="D7">
        <f>B7 * assumptions!$B$5</f>
        <v>97120</v>
      </c>
      <c r="E7">
        <f>assumptions!$B$6</f>
        <v>450000</v>
      </c>
      <c r="F7">
        <f t="shared" si="0"/>
        <v>547120</v>
      </c>
      <c r="G7">
        <f t="shared" si="1"/>
        <v>58666</v>
      </c>
    </row>
    <row r="8" spans="1:7" x14ac:dyDescent="0.3">
      <c r="A8" t="s">
        <v>19</v>
      </c>
      <c r="B8">
        <f>MAX(0, ROUNDDOWN(B7*(1 + assumptions!$B$3 - assumptions!$B$4), 0))</f>
        <v>1262</v>
      </c>
      <c r="C8">
        <f>B8*assumptions!B2</f>
        <v>629738</v>
      </c>
      <c r="D8">
        <f>B8 * assumptions!$B$5</f>
        <v>100960</v>
      </c>
      <c r="E8">
        <f>assumptions!$B$6</f>
        <v>450000</v>
      </c>
      <c r="F8">
        <f t="shared" si="0"/>
        <v>550960</v>
      </c>
      <c r="G8">
        <f t="shared" si="1"/>
        <v>78778</v>
      </c>
    </row>
    <row r="9" spans="1:7" x14ac:dyDescent="0.3">
      <c r="A9" t="s">
        <v>20</v>
      </c>
      <c r="B9">
        <f>MAX(0, ROUNDDOWN(B8*(1 + assumptions!$B$3 - assumptions!$B$4), 0))</f>
        <v>1312</v>
      </c>
      <c r="C9">
        <f>B9*assumptions!B2</f>
        <v>654688</v>
      </c>
      <c r="D9">
        <f>B9 * assumptions!$B$5</f>
        <v>104960</v>
      </c>
      <c r="E9">
        <f>assumptions!$B$6</f>
        <v>450000</v>
      </c>
      <c r="F9">
        <f t="shared" si="0"/>
        <v>554960</v>
      </c>
      <c r="G9">
        <f t="shared" si="1"/>
        <v>99728</v>
      </c>
    </row>
    <row r="10" spans="1:7" x14ac:dyDescent="0.3">
      <c r="A10" t="s">
        <v>21</v>
      </c>
      <c r="B10">
        <f>MAX(0, ROUNDDOWN(B9*(1 + assumptions!$B$3 - assumptions!$B$4), 0))</f>
        <v>1364</v>
      </c>
      <c r="C10">
        <f>B10*assumptions!B2</f>
        <v>680636</v>
      </c>
      <c r="D10">
        <f>B10 * assumptions!$B$5</f>
        <v>109120</v>
      </c>
      <c r="E10">
        <f>assumptions!$B$6</f>
        <v>450000</v>
      </c>
      <c r="F10">
        <f t="shared" si="0"/>
        <v>559120</v>
      </c>
      <c r="G10">
        <f t="shared" si="1"/>
        <v>121516</v>
      </c>
    </row>
    <row r="11" spans="1:7" x14ac:dyDescent="0.3">
      <c r="A11" t="s">
        <v>22</v>
      </c>
      <c r="B11">
        <f>MAX(0, ROUNDDOWN(B10*(1 + assumptions!$B$3 - assumptions!$B$4), 0))</f>
        <v>1418</v>
      </c>
      <c r="C11">
        <f>B11*assumptions!B2</f>
        <v>707582</v>
      </c>
      <c r="D11">
        <f>B11 * assumptions!$B$5</f>
        <v>113440</v>
      </c>
      <c r="E11">
        <f>assumptions!$B$6</f>
        <v>450000</v>
      </c>
      <c r="F11">
        <f t="shared" si="0"/>
        <v>563440</v>
      </c>
      <c r="G11">
        <f t="shared" si="1"/>
        <v>144142</v>
      </c>
    </row>
    <row r="12" spans="1:7" x14ac:dyDescent="0.3">
      <c r="A12" t="s">
        <v>23</v>
      </c>
      <c r="B12">
        <f>MAX(0, ROUNDDOWN(B11*(1 + assumptions!$B$3 - assumptions!$B$4), 0))</f>
        <v>1474</v>
      </c>
      <c r="C12">
        <f>B12*assumptions!B2</f>
        <v>735526</v>
      </c>
      <c r="D12">
        <f>B12 * assumptions!$B$5</f>
        <v>117920</v>
      </c>
      <c r="E12">
        <f>assumptions!$B$6</f>
        <v>450000</v>
      </c>
      <c r="F12">
        <f t="shared" si="0"/>
        <v>567920</v>
      </c>
      <c r="G12">
        <f t="shared" si="1"/>
        <v>167606</v>
      </c>
    </row>
    <row r="13" spans="1:7" x14ac:dyDescent="0.3">
      <c r="A13" t="s">
        <v>24</v>
      </c>
      <c r="B13">
        <f>MAX(0, ROUNDDOWN(B12*(1 + assumptions!$B$3 - assumptions!$B$4), 0))</f>
        <v>1532</v>
      </c>
      <c r="C13">
        <f>B13*assumptions!B2</f>
        <v>764468</v>
      </c>
      <c r="D13">
        <f>B13 * assumptions!$B$5</f>
        <v>122560</v>
      </c>
      <c r="E13">
        <f>assumptions!$B$6</f>
        <v>450000</v>
      </c>
      <c r="F13">
        <f t="shared" si="0"/>
        <v>572560</v>
      </c>
      <c r="G13">
        <f t="shared" si="1"/>
        <v>191908</v>
      </c>
    </row>
    <row r="14" spans="1:7" x14ac:dyDescent="0.3">
      <c r="A14" t="s">
        <v>25</v>
      </c>
      <c r="B14">
        <f>MAX(0, ROUNDDOWN(B13*(1 + assumptions!$B$3 - assumptions!$B$4), 0))</f>
        <v>1593</v>
      </c>
      <c r="C14">
        <f>B14*assumptions!B2</f>
        <v>794907</v>
      </c>
      <c r="D14">
        <f>B14 * assumptions!$B$5</f>
        <v>127440</v>
      </c>
      <c r="E14">
        <f>assumptions!$B$6</f>
        <v>450000</v>
      </c>
      <c r="F14">
        <f t="shared" si="0"/>
        <v>577440</v>
      </c>
      <c r="G14">
        <f t="shared" si="1"/>
        <v>217467</v>
      </c>
    </row>
    <row r="15" spans="1:7" x14ac:dyDescent="0.3">
      <c r="A15" t="s">
        <v>26</v>
      </c>
      <c r="B15">
        <f>MAX(0, ROUNDDOWN(B14*(1 + assumptions!$B$3 - assumptions!$B$4), 0))</f>
        <v>1656</v>
      </c>
      <c r="C15">
        <f>B15*assumptions!B2</f>
        <v>826344</v>
      </c>
      <c r="D15">
        <f>B15 * assumptions!$B$5</f>
        <v>132480</v>
      </c>
      <c r="E15">
        <f>assumptions!$B$6</f>
        <v>450000</v>
      </c>
      <c r="F15">
        <f t="shared" si="0"/>
        <v>582480</v>
      </c>
      <c r="G15">
        <f t="shared" si="1"/>
        <v>243864</v>
      </c>
    </row>
    <row r="16" spans="1:7" x14ac:dyDescent="0.3">
      <c r="A16" t="s">
        <v>27</v>
      </c>
      <c r="B16">
        <f>MAX(0, ROUNDDOWN(B15*(1 + assumptions!$B$3 - assumptions!$B$4), 0))</f>
        <v>1722</v>
      </c>
      <c r="C16">
        <f>B16*assumptions!B2</f>
        <v>859278</v>
      </c>
      <c r="D16">
        <f>B16 * assumptions!$B$5</f>
        <v>137760</v>
      </c>
      <c r="E16">
        <f>assumptions!$B$6</f>
        <v>450000</v>
      </c>
      <c r="F16">
        <f t="shared" si="0"/>
        <v>587760</v>
      </c>
      <c r="G16">
        <f t="shared" si="1"/>
        <v>271518</v>
      </c>
    </row>
    <row r="17" spans="1:7" x14ac:dyDescent="0.3">
      <c r="A17" t="s">
        <v>28</v>
      </c>
      <c r="B17">
        <f>MAX(0, ROUNDDOWN(B16*(1 + assumptions!$B$3 - assumptions!$B$4), 0))</f>
        <v>1790</v>
      </c>
      <c r="C17">
        <f>B17*assumptions!B2</f>
        <v>893210</v>
      </c>
      <c r="D17">
        <f>B17 * assumptions!$B$5</f>
        <v>143200</v>
      </c>
      <c r="E17">
        <f>assumptions!$B$6</f>
        <v>450000</v>
      </c>
      <c r="F17">
        <f t="shared" si="0"/>
        <v>593200</v>
      </c>
      <c r="G17">
        <f t="shared" si="1"/>
        <v>300010</v>
      </c>
    </row>
    <row r="18" spans="1:7" x14ac:dyDescent="0.3">
      <c r="A18" t="s">
        <v>29</v>
      </c>
      <c r="B18">
        <f>MAX(0, ROUNDDOWN(B17*(1 + assumptions!$B$3 - assumptions!$B$4), 0))</f>
        <v>1861</v>
      </c>
      <c r="C18">
        <f>B18*assumptions!B2</f>
        <v>928639</v>
      </c>
      <c r="D18">
        <f>B18 * assumptions!$B$5</f>
        <v>148880</v>
      </c>
      <c r="E18">
        <f>assumptions!$B$6</f>
        <v>450000</v>
      </c>
      <c r="F18">
        <f t="shared" si="0"/>
        <v>598880</v>
      </c>
      <c r="G18">
        <f t="shared" si="1"/>
        <v>329759</v>
      </c>
    </row>
    <row r="19" spans="1:7" x14ac:dyDescent="0.3">
      <c r="A19" t="s">
        <v>30</v>
      </c>
      <c r="B19">
        <f>MAX(0, ROUNDDOWN(B18*(1 + assumptions!$B$3 - assumptions!$B$4), 0))</f>
        <v>1935</v>
      </c>
      <c r="C19">
        <f>B19*assumptions!B2</f>
        <v>965565</v>
      </c>
      <c r="D19">
        <f>B19 * assumptions!$B$5</f>
        <v>154800</v>
      </c>
      <c r="E19">
        <f>assumptions!$B$6</f>
        <v>450000</v>
      </c>
      <c r="F19">
        <f t="shared" si="0"/>
        <v>604800</v>
      </c>
      <c r="G19">
        <f t="shared" si="1"/>
        <v>360765</v>
      </c>
    </row>
    <row r="20" spans="1:7" x14ac:dyDescent="0.3">
      <c r="A20" t="s">
        <v>31</v>
      </c>
      <c r="B20">
        <f>MAX(0, ROUNDDOWN(B19*(1 + assumptions!$B$3 - assumptions!$B$4), 0))</f>
        <v>2012</v>
      </c>
      <c r="C20">
        <f>B20*assumptions!B2</f>
        <v>1003988</v>
      </c>
      <c r="D20">
        <f>B20 * assumptions!$B$5</f>
        <v>160960</v>
      </c>
      <c r="E20">
        <f>assumptions!$B$6</f>
        <v>450000</v>
      </c>
      <c r="F20">
        <f t="shared" si="0"/>
        <v>610960</v>
      </c>
      <c r="G20">
        <f t="shared" si="1"/>
        <v>393028</v>
      </c>
    </row>
    <row r="21" spans="1:7" x14ac:dyDescent="0.3">
      <c r="A21" t="s">
        <v>32</v>
      </c>
      <c r="B21">
        <f>MAX(0, ROUNDDOWN(B20*(1 + assumptions!$B$3 - assumptions!$B$4), 0))</f>
        <v>2092</v>
      </c>
      <c r="C21">
        <f>B21*assumptions!B2</f>
        <v>1043908</v>
      </c>
      <c r="D21">
        <f>B21 * assumptions!$B$5</f>
        <v>167360</v>
      </c>
      <c r="E21">
        <f>assumptions!$B$6</f>
        <v>450000</v>
      </c>
      <c r="F21">
        <f t="shared" si="0"/>
        <v>617360</v>
      </c>
      <c r="G21">
        <f t="shared" si="1"/>
        <v>426548</v>
      </c>
    </row>
    <row r="22" spans="1:7" x14ac:dyDescent="0.3">
      <c r="A22" t="s">
        <v>33</v>
      </c>
      <c r="B22">
        <f>MAX(0, ROUNDDOWN(B21*(1 + assumptions!$B$3 - assumptions!$B$4), 0))</f>
        <v>2175</v>
      </c>
      <c r="C22">
        <f>B22*assumptions!B2</f>
        <v>1085325</v>
      </c>
      <c r="D22">
        <f>B22 * assumptions!$B$5</f>
        <v>174000</v>
      </c>
      <c r="E22">
        <f>assumptions!$B$6</f>
        <v>450000</v>
      </c>
      <c r="F22">
        <f t="shared" si="0"/>
        <v>624000</v>
      </c>
      <c r="G22">
        <f t="shared" si="1"/>
        <v>461325</v>
      </c>
    </row>
    <row r="23" spans="1:7" x14ac:dyDescent="0.3">
      <c r="A23" t="s">
        <v>34</v>
      </c>
      <c r="B23">
        <f>MAX(0, ROUNDDOWN(B22*(1 + assumptions!$B$3 - assumptions!$B$4), 0))</f>
        <v>2262</v>
      </c>
      <c r="C23">
        <f>B23*assumptions!B2</f>
        <v>1128738</v>
      </c>
      <c r="D23">
        <f>B23 * assumptions!$B$5</f>
        <v>180960</v>
      </c>
      <c r="E23">
        <f>assumptions!$B$6</f>
        <v>450000</v>
      </c>
      <c r="F23">
        <f t="shared" si="0"/>
        <v>630960</v>
      </c>
      <c r="G23">
        <f t="shared" si="1"/>
        <v>497778</v>
      </c>
    </row>
    <row r="24" spans="1:7" x14ac:dyDescent="0.3">
      <c r="A24" t="s">
        <v>35</v>
      </c>
      <c r="B24">
        <f>MAX(0, ROUNDDOWN(B23*(1 + assumptions!$B$3 - assumptions!$B$4), 0))</f>
        <v>2352</v>
      </c>
      <c r="C24">
        <f>B24*assumptions!B2</f>
        <v>1173648</v>
      </c>
      <c r="D24">
        <f>B24 * assumptions!$B$5</f>
        <v>188160</v>
      </c>
      <c r="E24">
        <f>assumptions!$B$6</f>
        <v>450000</v>
      </c>
      <c r="F24">
        <f t="shared" si="0"/>
        <v>638160</v>
      </c>
      <c r="G24">
        <f t="shared" si="1"/>
        <v>535488</v>
      </c>
    </row>
    <row r="25" spans="1:7" x14ac:dyDescent="0.3">
      <c r="A25" t="s">
        <v>36</v>
      </c>
      <c r="B25">
        <f>MAX(0, ROUNDDOWN(B24*(1 + assumptions!$B$3 - assumptions!$B$4), 0))</f>
        <v>2446</v>
      </c>
      <c r="C25">
        <f>B25*assumptions!B2</f>
        <v>1220554</v>
      </c>
      <c r="D25">
        <f>B25 * assumptions!$B$5</f>
        <v>195680</v>
      </c>
      <c r="E25">
        <f>assumptions!$B$6</f>
        <v>450000</v>
      </c>
      <c r="F25">
        <f t="shared" si="0"/>
        <v>645680</v>
      </c>
      <c r="G25">
        <f t="shared" si="1"/>
        <v>574874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ADB46-C282-40EC-868B-544AD5C0B3EB}">
  <dimension ref="A1:F25"/>
  <sheetViews>
    <sheetView tabSelected="1" workbookViewId="0">
      <selection activeCell="D8" sqref="D8"/>
    </sheetView>
  </sheetViews>
  <sheetFormatPr defaultRowHeight="14.4" x14ac:dyDescent="0.3"/>
  <sheetData>
    <row r="1" spans="1:6" x14ac:dyDescent="0.3">
      <c r="A1" t="s">
        <v>6</v>
      </c>
      <c r="B1" t="s">
        <v>38</v>
      </c>
      <c r="C1" t="s">
        <v>12</v>
      </c>
      <c r="D1" t="s">
        <v>39</v>
      </c>
      <c r="E1" t="s">
        <v>40</v>
      </c>
      <c r="F1" t="s">
        <v>41</v>
      </c>
    </row>
    <row r="2" spans="1:6" x14ac:dyDescent="0.3">
      <c r="A2" t="str">
        <f>monthly_projection!A2</f>
        <v>month 1</v>
      </c>
      <c r="B2">
        <f>assumptions!$B$7</f>
        <v>2500000</v>
      </c>
      <c r="C2">
        <f>monthly_projection!G2</f>
        <v>-31000</v>
      </c>
      <c r="D2">
        <f>0</f>
        <v>0</v>
      </c>
      <c r="E2">
        <f>B2 + C2 + D2</f>
        <v>2469000</v>
      </c>
      <c r="F2" t="str">
        <f>IF(E2&lt;0,"Run Out","Alive")</f>
        <v>Alive</v>
      </c>
    </row>
    <row r="3" spans="1:6" x14ac:dyDescent="0.3">
      <c r="A3" t="str">
        <f>monthly_projection!A3</f>
        <v>month 2</v>
      </c>
      <c r="B3">
        <f>E2</f>
        <v>2469000</v>
      </c>
      <c r="C3">
        <f>monthly_projection!G3</f>
        <v>-14240</v>
      </c>
      <c r="D3">
        <f>0</f>
        <v>0</v>
      </c>
      <c r="E3">
        <f t="shared" ref="E3:E25" si="0">B3 + C3 + D3</f>
        <v>2454760</v>
      </c>
      <c r="F3" t="str">
        <f t="shared" ref="F3:F25" si="1">IF(E3&lt;0,"Run Out","Alive")</f>
        <v>Alive</v>
      </c>
    </row>
    <row r="4" spans="1:6" x14ac:dyDescent="0.3">
      <c r="A4" t="str">
        <f>monthly_projection!A4</f>
        <v>month 3</v>
      </c>
      <c r="B4">
        <f t="shared" ref="B4:B25" si="2">E3</f>
        <v>2454760</v>
      </c>
      <c r="C4">
        <f>monthly_projection!G4</f>
        <v>2939</v>
      </c>
      <c r="D4">
        <f>0</f>
        <v>0</v>
      </c>
      <c r="E4">
        <f t="shared" si="0"/>
        <v>2457699</v>
      </c>
      <c r="F4" t="str">
        <f t="shared" si="1"/>
        <v>Alive</v>
      </c>
    </row>
    <row r="5" spans="1:6" x14ac:dyDescent="0.3">
      <c r="A5" t="str">
        <f>monthly_projection!A5</f>
        <v>month 4</v>
      </c>
      <c r="B5">
        <f t="shared" si="2"/>
        <v>2457699</v>
      </c>
      <c r="C5">
        <f>monthly_projection!G5</f>
        <v>20956</v>
      </c>
      <c r="D5">
        <f>0</f>
        <v>0</v>
      </c>
      <c r="E5">
        <f t="shared" si="0"/>
        <v>2478655</v>
      </c>
      <c r="F5" t="str">
        <f t="shared" si="1"/>
        <v>Alive</v>
      </c>
    </row>
    <row r="6" spans="1:6" x14ac:dyDescent="0.3">
      <c r="A6" t="str">
        <f>monthly_projection!A6</f>
        <v>month 5</v>
      </c>
      <c r="B6">
        <f t="shared" si="2"/>
        <v>2478655</v>
      </c>
      <c r="C6">
        <f>monthly_projection!G6</f>
        <v>39392</v>
      </c>
      <c r="D6">
        <f>0</f>
        <v>0</v>
      </c>
      <c r="E6">
        <f t="shared" si="0"/>
        <v>2518047</v>
      </c>
      <c r="F6" t="str">
        <f t="shared" si="1"/>
        <v>Alive</v>
      </c>
    </row>
    <row r="7" spans="1:6" x14ac:dyDescent="0.3">
      <c r="A7" t="str">
        <f>monthly_projection!A7</f>
        <v>month 6</v>
      </c>
      <c r="B7">
        <f t="shared" si="2"/>
        <v>2518047</v>
      </c>
      <c r="C7">
        <f>monthly_projection!G7</f>
        <v>58666</v>
      </c>
      <c r="D7">
        <v>0</v>
      </c>
      <c r="E7">
        <f t="shared" si="0"/>
        <v>2576713</v>
      </c>
      <c r="F7" t="str">
        <f t="shared" si="1"/>
        <v>Alive</v>
      </c>
    </row>
    <row r="8" spans="1:6" x14ac:dyDescent="0.3">
      <c r="A8" t="str">
        <f>monthly_projection!A8</f>
        <v>month 7</v>
      </c>
      <c r="B8">
        <f t="shared" si="2"/>
        <v>2576713</v>
      </c>
      <c r="C8">
        <f>monthly_projection!G8</f>
        <v>78778</v>
      </c>
      <c r="D8">
        <f>0</f>
        <v>0</v>
      </c>
      <c r="E8">
        <f t="shared" si="0"/>
        <v>2655491</v>
      </c>
      <c r="F8" t="str">
        <f t="shared" si="1"/>
        <v>Alive</v>
      </c>
    </row>
    <row r="9" spans="1:6" x14ac:dyDescent="0.3">
      <c r="A9" t="str">
        <f>monthly_projection!A9</f>
        <v>month 8</v>
      </c>
      <c r="B9">
        <f t="shared" si="2"/>
        <v>2655491</v>
      </c>
      <c r="C9">
        <f>monthly_projection!G9</f>
        <v>99728</v>
      </c>
      <c r="D9">
        <f>0</f>
        <v>0</v>
      </c>
      <c r="E9">
        <f t="shared" si="0"/>
        <v>2755219</v>
      </c>
      <c r="F9" t="str">
        <f t="shared" si="1"/>
        <v>Alive</v>
      </c>
    </row>
    <row r="10" spans="1:6" x14ac:dyDescent="0.3">
      <c r="A10" t="str">
        <f>monthly_projection!A10</f>
        <v>month 9</v>
      </c>
      <c r="B10">
        <f t="shared" si="2"/>
        <v>2755219</v>
      </c>
      <c r="C10">
        <f>monthly_projection!G10</f>
        <v>121516</v>
      </c>
      <c r="D10">
        <f>0</f>
        <v>0</v>
      </c>
      <c r="E10">
        <f t="shared" si="0"/>
        <v>2876735</v>
      </c>
      <c r="F10" t="str">
        <f t="shared" si="1"/>
        <v>Alive</v>
      </c>
    </row>
    <row r="11" spans="1:6" x14ac:dyDescent="0.3">
      <c r="A11" t="str">
        <f>monthly_projection!A11</f>
        <v>month 10</v>
      </c>
      <c r="B11">
        <f t="shared" si="2"/>
        <v>2876735</v>
      </c>
      <c r="C11">
        <f>monthly_projection!G11</f>
        <v>144142</v>
      </c>
      <c r="D11">
        <f>0</f>
        <v>0</v>
      </c>
      <c r="E11">
        <f t="shared" si="0"/>
        <v>3020877</v>
      </c>
      <c r="F11" t="str">
        <f t="shared" si="1"/>
        <v>Alive</v>
      </c>
    </row>
    <row r="12" spans="1:6" x14ac:dyDescent="0.3">
      <c r="A12" t="str">
        <f>monthly_projection!A12</f>
        <v>month 11</v>
      </c>
      <c r="B12">
        <f t="shared" si="2"/>
        <v>3020877</v>
      </c>
      <c r="C12">
        <f>monthly_projection!G12</f>
        <v>167606</v>
      </c>
      <c r="D12">
        <f>0</f>
        <v>0</v>
      </c>
      <c r="E12">
        <f t="shared" si="0"/>
        <v>3188483</v>
      </c>
      <c r="F12" t="str">
        <f t="shared" si="1"/>
        <v>Alive</v>
      </c>
    </row>
    <row r="13" spans="1:6" x14ac:dyDescent="0.3">
      <c r="A13" t="str">
        <f>monthly_projection!A13</f>
        <v>month 12</v>
      </c>
      <c r="B13">
        <f t="shared" si="2"/>
        <v>3188483</v>
      </c>
      <c r="C13">
        <f>monthly_projection!G13</f>
        <v>191908</v>
      </c>
      <c r="D13">
        <f>0</f>
        <v>0</v>
      </c>
      <c r="E13">
        <f t="shared" si="0"/>
        <v>3380391</v>
      </c>
      <c r="F13" t="str">
        <f t="shared" si="1"/>
        <v>Alive</v>
      </c>
    </row>
    <row r="14" spans="1:6" x14ac:dyDescent="0.3">
      <c r="A14" t="str">
        <f>monthly_projection!A14</f>
        <v>month 13</v>
      </c>
      <c r="B14">
        <f t="shared" si="2"/>
        <v>3380391</v>
      </c>
      <c r="C14">
        <f>monthly_projection!G14</f>
        <v>217467</v>
      </c>
      <c r="D14">
        <f>0</f>
        <v>0</v>
      </c>
      <c r="E14">
        <f t="shared" si="0"/>
        <v>3597858</v>
      </c>
      <c r="F14" t="str">
        <f t="shared" si="1"/>
        <v>Alive</v>
      </c>
    </row>
    <row r="15" spans="1:6" x14ac:dyDescent="0.3">
      <c r="A15" t="str">
        <f>monthly_projection!A15</f>
        <v>month 14</v>
      </c>
      <c r="B15">
        <f t="shared" si="2"/>
        <v>3597858</v>
      </c>
      <c r="C15">
        <f>monthly_projection!G15</f>
        <v>243864</v>
      </c>
      <c r="D15">
        <f>0</f>
        <v>0</v>
      </c>
      <c r="E15">
        <f t="shared" si="0"/>
        <v>3841722</v>
      </c>
      <c r="F15" t="str">
        <f t="shared" si="1"/>
        <v>Alive</v>
      </c>
    </row>
    <row r="16" spans="1:6" x14ac:dyDescent="0.3">
      <c r="A16" t="str">
        <f>monthly_projection!A16</f>
        <v>month 15</v>
      </c>
      <c r="B16">
        <f t="shared" si="2"/>
        <v>3841722</v>
      </c>
      <c r="C16">
        <f>monthly_projection!G16</f>
        <v>271518</v>
      </c>
      <c r="D16">
        <f>0</f>
        <v>0</v>
      </c>
      <c r="E16">
        <f t="shared" si="0"/>
        <v>4113240</v>
      </c>
      <c r="F16" t="str">
        <f t="shared" si="1"/>
        <v>Alive</v>
      </c>
    </row>
    <row r="17" spans="1:6" x14ac:dyDescent="0.3">
      <c r="A17" t="str">
        <f>monthly_projection!A17</f>
        <v>month 16</v>
      </c>
      <c r="B17">
        <f t="shared" si="2"/>
        <v>4113240</v>
      </c>
      <c r="C17">
        <f>monthly_projection!G17</f>
        <v>300010</v>
      </c>
      <c r="D17">
        <f>0</f>
        <v>0</v>
      </c>
      <c r="E17">
        <f t="shared" si="0"/>
        <v>4413250</v>
      </c>
      <c r="F17" t="str">
        <f t="shared" si="1"/>
        <v>Alive</v>
      </c>
    </row>
    <row r="18" spans="1:6" x14ac:dyDescent="0.3">
      <c r="A18" t="str">
        <f>monthly_projection!A18</f>
        <v>month 17</v>
      </c>
      <c r="B18">
        <f t="shared" si="2"/>
        <v>4413250</v>
      </c>
      <c r="C18">
        <f>monthly_projection!G18</f>
        <v>329759</v>
      </c>
      <c r="D18">
        <f>0</f>
        <v>0</v>
      </c>
      <c r="E18">
        <f t="shared" si="0"/>
        <v>4743009</v>
      </c>
      <c r="F18" t="str">
        <f t="shared" si="1"/>
        <v>Alive</v>
      </c>
    </row>
    <row r="19" spans="1:6" x14ac:dyDescent="0.3">
      <c r="A19" t="str">
        <f>monthly_projection!A19</f>
        <v>month 18</v>
      </c>
      <c r="B19">
        <f t="shared" si="2"/>
        <v>4743009</v>
      </c>
      <c r="C19">
        <f>monthly_projection!G19</f>
        <v>360765</v>
      </c>
      <c r="D19">
        <f>0</f>
        <v>0</v>
      </c>
      <c r="E19">
        <f t="shared" si="0"/>
        <v>5103774</v>
      </c>
      <c r="F19" t="str">
        <f t="shared" si="1"/>
        <v>Alive</v>
      </c>
    </row>
    <row r="20" spans="1:6" x14ac:dyDescent="0.3">
      <c r="A20" t="str">
        <f>monthly_projection!A20</f>
        <v>month 19</v>
      </c>
      <c r="B20">
        <f t="shared" si="2"/>
        <v>5103774</v>
      </c>
      <c r="C20">
        <f>monthly_projection!G20</f>
        <v>393028</v>
      </c>
      <c r="D20">
        <f>0</f>
        <v>0</v>
      </c>
      <c r="E20">
        <f t="shared" si="0"/>
        <v>5496802</v>
      </c>
      <c r="F20" t="str">
        <f t="shared" si="1"/>
        <v>Alive</v>
      </c>
    </row>
    <row r="21" spans="1:6" x14ac:dyDescent="0.3">
      <c r="A21" t="str">
        <f>monthly_projection!A21</f>
        <v>month 20</v>
      </c>
      <c r="B21">
        <f t="shared" si="2"/>
        <v>5496802</v>
      </c>
      <c r="C21">
        <f>monthly_projection!G21</f>
        <v>426548</v>
      </c>
      <c r="D21">
        <f>0</f>
        <v>0</v>
      </c>
      <c r="E21">
        <f t="shared" si="0"/>
        <v>5923350</v>
      </c>
      <c r="F21" t="str">
        <f t="shared" si="1"/>
        <v>Alive</v>
      </c>
    </row>
    <row r="22" spans="1:6" x14ac:dyDescent="0.3">
      <c r="A22" t="str">
        <f>monthly_projection!A22</f>
        <v>month 21</v>
      </c>
      <c r="B22">
        <f t="shared" si="2"/>
        <v>5923350</v>
      </c>
      <c r="C22">
        <f>monthly_projection!G22</f>
        <v>461325</v>
      </c>
      <c r="D22">
        <f>0</f>
        <v>0</v>
      </c>
      <c r="E22">
        <f t="shared" si="0"/>
        <v>6384675</v>
      </c>
      <c r="F22" t="str">
        <f t="shared" si="1"/>
        <v>Alive</v>
      </c>
    </row>
    <row r="23" spans="1:6" x14ac:dyDescent="0.3">
      <c r="A23" t="str">
        <f>monthly_projection!A23</f>
        <v>month 22</v>
      </c>
      <c r="B23">
        <f t="shared" si="2"/>
        <v>6384675</v>
      </c>
      <c r="C23">
        <f>monthly_projection!G23</f>
        <v>497778</v>
      </c>
      <c r="D23">
        <f>0</f>
        <v>0</v>
      </c>
      <c r="E23">
        <f t="shared" si="0"/>
        <v>6882453</v>
      </c>
      <c r="F23" t="str">
        <f t="shared" si="1"/>
        <v>Alive</v>
      </c>
    </row>
    <row r="24" spans="1:6" x14ac:dyDescent="0.3">
      <c r="A24" t="str">
        <f>monthly_projection!A24</f>
        <v>month 23</v>
      </c>
      <c r="B24">
        <f t="shared" si="2"/>
        <v>6882453</v>
      </c>
      <c r="C24">
        <f>monthly_projection!G24</f>
        <v>535488</v>
      </c>
      <c r="D24">
        <f>0</f>
        <v>0</v>
      </c>
      <c r="E24">
        <f t="shared" si="0"/>
        <v>7417941</v>
      </c>
      <c r="F24" t="str">
        <f t="shared" si="1"/>
        <v>Alive</v>
      </c>
    </row>
    <row r="25" spans="1:6" x14ac:dyDescent="0.3">
      <c r="A25" t="str">
        <f>monthly_projection!A25</f>
        <v>month 24</v>
      </c>
      <c r="B25">
        <f t="shared" si="2"/>
        <v>7417941</v>
      </c>
      <c r="C25">
        <f>monthly_projection!G25</f>
        <v>574874</v>
      </c>
      <c r="D25">
        <f>0</f>
        <v>0</v>
      </c>
      <c r="E25">
        <f t="shared" si="0"/>
        <v>7992815</v>
      </c>
      <c r="F25" t="str">
        <f t="shared" si="1"/>
        <v>Alive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77C5-F5A9-42D4-B966-F21A0C16A921}">
  <dimension ref="A1:B6"/>
  <sheetViews>
    <sheetView workbookViewId="0">
      <selection activeCell="B6" sqref="B6"/>
    </sheetView>
  </sheetViews>
  <sheetFormatPr defaultRowHeight="14.4" x14ac:dyDescent="0.3"/>
  <cols>
    <col min="1" max="1" width="25.109375" customWidth="1"/>
  </cols>
  <sheetData>
    <row r="1" spans="1:2" x14ac:dyDescent="0.3">
      <c r="A1" t="s">
        <v>42</v>
      </c>
      <c r="B1">
        <f>SUM(monthly_projection!C2:C25)</f>
        <v>19403615</v>
      </c>
    </row>
    <row r="2" spans="1:2" x14ac:dyDescent="0.3">
      <c r="A2" t="s">
        <v>43</v>
      </c>
      <c r="B2">
        <f>SUM(monthly_projection!F2:F25)</f>
        <v>13910800</v>
      </c>
    </row>
    <row r="3" spans="1:2" x14ac:dyDescent="0.3">
      <c r="A3" t="s">
        <v>44</v>
      </c>
      <c r="B3">
        <f>SUM(monthly_projection!G2:G25)</f>
        <v>5492815</v>
      </c>
    </row>
    <row r="4" spans="1:2" x14ac:dyDescent="0.3">
      <c r="A4" t="s">
        <v>45</v>
      </c>
      <c r="B4">
        <f>AVERAGEIF(monthly_projection!G2:G25,"&lt;0",monthly_projection!G2:G25)*-1</f>
        <v>22620</v>
      </c>
    </row>
    <row r="5" spans="1:2" x14ac:dyDescent="0.3">
      <c r="A5" t="s">
        <v>46</v>
      </c>
      <c r="B5" t="str">
        <f>"No Runway Risk (Base Case)"</f>
        <v>No Runway Risk (Base Case)</v>
      </c>
    </row>
    <row r="6" spans="1:2" x14ac:dyDescent="0.3">
      <c r="A6" t="s">
        <v>47</v>
      </c>
      <c r="B6" cm="1">
        <f t="array" ref="B6">MIN(IF(monthly_projection!G2:G25&gt;=0, monthly_projection!A2:A25))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monthly_projection</vt:lpstr>
      <vt:lpstr>cash_flow</vt:lpstr>
      <vt:lpstr>KPI_summary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YASHASWINI SHEKHAWAT</dc:creator>
  <cp:lastModifiedBy>YASHASWINI SHEKHAWAT</cp:lastModifiedBy>
  <dcterms:created xsi:type="dcterms:W3CDTF">2026-01-17T16:59:04Z</dcterms:created>
  <dcterms:modified xsi:type="dcterms:W3CDTF">2026-01-17T18:16:44Z</dcterms:modified>
</cp:coreProperties>
</file>